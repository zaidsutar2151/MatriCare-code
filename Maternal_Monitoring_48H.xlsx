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MATRICARE AI\"/>
    </mc:Choice>
  </mc:AlternateContent>
  <xr:revisionPtr revIDLastSave="0" documentId="13_ncr:1_{1A8D85FA-27DC-4149-98FB-0B9A78E5E187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Monitoring Parameters" sheetId="1" r:id="rId1"/>
    <sheet name="Summary" sheetId="2" r:id="rId2"/>
    <sheet name="Risk Parameters" sheetId="3" r:id="rId3"/>
    <sheet name="Dashboard" sheetId="4" r:id="rId4"/>
  </sheets>
  <calcPr calcId="0"/>
</workbook>
</file>

<file path=xl/sharedStrings.xml><?xml version="1.0" encoding="utf-8"?>
<sst xmlns="http://schemas.openxmlformats.org/spreadsheetml/2006/main" count="319" uniqueCount="186">
  <si>
    <t>Category</t>
  </si>
  <si>
    <t>Parameter</t>
  </si>
  <si>
    <t>Meaning (Simple)</t>
  </si>
  <si>
    <t>Why Used</t>
  </si>
  <si>
    <t>When Used</t>
  </si>
  <si>
    <t>Unit</t>
  </si>
  <si>
    <t>Safe Range (Green)</t>
  </si>
  <si>
    <t>Caution (Yellow)</t>
  </si>
  <si>
    <t>Danger (Red)</t>
  </si>
  <si>
    <t>Frequency</t>
  </si>
  <si>
    <t>Action</t>
  </si>
  <si>
    <t>Vital</t>
  </si>
  <si>
    <t>Blood Pressure (BP)</t>
  </si>
  <si>
    <t>Pressure of blood in arteries</t>
  </si>
  <si>
    <t>Detect preeclampsia/shock</t>
  </si>
  <si>
    <t>Labour + Postpartum</t>
  </si>
  <si>
    <t>mmHg</t>
  </si>
  <si>
    <t>110–130/70–85</t>
  </si>
  <si>
    <t>≥140/90 or &lt;90/60</t>
  </si>
  <si>
    <t>≥160/110 or &lt;80</t>
  </si>
  <si>
    <t>Every 30 min (labour), 4 hrly (postpartum)</t>
  </si>
  <si>
    <t>Antihypertensive, alert doctor</t>
  </si>
  <si>
    <t>Pulse (HR)</t>
  </si>
  <si>
    <t>Heart beats per minute</t>
  </si>
  <si>
    <t>Detect bleeding, collapse</t>
  </si>
  <si>
    <t>bpm</t>
  </si>
  <si>
    <t>60–100</t>
  </si>
  <si>
    <t>100–120 or &lt;50</t>
  </si>
  <si>
    <t>&gt;120 or &lt;40</t>
  </si>
  <si>
    <t>Check cause, IV fluids, alert doctor</t>
  </si>
  <si>
    <t>Temperature</t>
  </si>
  <si>
    <t>Body heat</t>
  </si>
  <si>
    <t>Detect infection, sepsis</t>
  </si>
  <si>
    <t>°C</t>
  </si>
  <si>
    <t>36.5–37.5</t>
  </si>
  <si>
    <t>37.6–38.0</t>
  </si>
  <si>
    <t>≥38.1 or &lt;35</t>
  </si>
  <si>
    <t>4 hrly</t>
  </si>
  <si>
    <t>Investigate infection, antibiotics</t>
  </si>
  <si>
    <t>Labour Progress</t>
  </si>
  <si>
    <t>Cervical Dilation</t>
  </si>
  <si>
    <t>How much cervix has opened (cm)</t>
  </si>
  <si>
    <t>Track labour progress</t>
  </si>
  <si>
    <t>Labour</t>
  </si>
  <si>
    <t>cm</t>
  </si>
  <si>
    <t>1 cm/hr (active labour)</t>
  </si>
  <si>
    <t>Slow progress</t>
  </si>
  <si>
    <t>No progress/obstructed</t>
  </si>
  <si>
    <t>Every 4 hrs</t>
  </si>
  <si>
    <t>Doctor intervention, possible C-section</t>
  </si>
  <si>
    <t>Uterine Contractions</t>
  </si>
  <si>
    <t>Womb tightening episodes</t>
  </si>
  <si>
    <t>Track labour strength</t>
  </si>
  <si>
    <t>per 10 min</t>
  </si>
  <si>
    <t>3–4 strong contractions</t>
  </si>
  <si>
    <t>&lt;3 or irregular</t>
  </si>
  <si>
    <t>&gt;5 (hyperstimulation)</t>
  </si>
  <si>
    <t>Every 30 min</t>
  </si>
  <si>
    <t>Oxytocin adjust/stop, monitor FHR</t>
  </si>
  <si>
    <t>Station/Descent of Head</t>
  </si>
  <si>
    <t>How far baby has moved down</t>
  </si>
  <si>
    <t>Assess labour progress</t>
  </si>
  <si>
    <t>stations</t>
  </si>
  <si>
    <t>Steady descent</t>
  </si>
  <si>
    <t>Slow</t>
  </si>
  <si>
    <t>No descent</t>
  </si>
  <si>
    <t>Every 2 hrs</t>
  </si>
  <si>
    <t>Reassess, possible assisted delivery</t>
  </si>
  <si>
    <t>Amniotic Fluid</t>
  </si>
  <si>
    <t>Water around baby</t>
  </si>
  <si>
    <t>Check baby condition</t>
  </si>
  <si>
    <t>colour</t>
  </si>
  <si>
    <t>Clear</t>
  </si>
  <si>
    <t>Meconium stained</t>
  </si>
  <si>
    <t>Bloody or foul smelling</t>
  </si>
  <si>
    <t>Once on rupture, then as needed</t>
  </si>
  <si>
    <t>Alert doctor, prepare for intervention</t>
  </si>
  <si>
    <t>SpO₂</t>
  </si>
  <si>
    <t>Oxygen saturation in blood</t>
  </si>
  <si>
    <t>Check oxygenation, shock</t>
  </si>
  <si>
    <t>Postpartum</t>
  </si>
  <si>
    <t>%</t>
  </si>
  <si>
    <t>95–100</t>
  </si>
  <si>
    <t>90–94</t>
  </si>
  <si>
    <t>&lt;90</t>
  </si>
  <si>
    <t>Oxygen support, urgent care</t>
  </si>
  <si>
    <t>Lochia</t>
  </si>
  <si>
    <t>Vaginal bleeding after birth</t>
  </si>
  <si>
    <t>Detect hemorrhage</t>
  </si>
  <si>
    <t>ml</t>
  </si>
  <si>
    <t>&lt;500</t>
  </si>
  <si>
    <t>500–999</t>
  </si>
  <si>
    <t>≥1000 or shock</t>
  </si>
  <si>
    <t>Every 15 min (first 2 hrs), then 4 hrly</t>
  </si>
  <si>
    <t>PPH protocol, fluids, surgery</t>
  </si>
  <si>
    <t>Uterus Tone/Fundal Height</t>
  </si>
  <si>
    <t>Firmness of uterus after birth</t>
  </si>
  <si>
    <t>Prevent bleeding</t>
  </si>
  <si>
    <t>palpation</t>
  </si>
  <si>
    <t>Firm, midline</t>
  </si>
  <si>
    <t>Soft but responds</t>
  </si>
  <si>
    <t>Soft + bleeding</t>
  </si>
  <si>
    <t>Massage uterus, meds, alert doctor</t>
  </si>
  <si>
    <t>Urine Output</t>
  </si>
  <si>
    <t>Amount of urine passed</t>
  </si>
  <si>
    <t>Detect shock, kidney function</t>
  </si>
  <si>
    <t>ml/hr</t>
  </si>
  <si>
    <t>&gt;30</t>
  </si>
  <si>
    <t>20–30</t>
  </si>
  <si>
    <t>&lt;20</t>
  </si>
  <si>
    <t>Hourly (if catheter)</t>
  </si>
  <si>
    <t>IV fluids, doctor review</t>
  </si>
  <si>
    <t>Pain (Perineal/Incision)</t>
  </si>
  <si>
    <t>Pain after delivery or C-section</t>
  </si>
  <si>
    <t>Assess recovery, infection</t>
  </si>
  <si>
    <t>scale 0–10</t>
  </si>
  <si>
    <t>0–4 mild</t>
  </si>
  <si>
    <t>5–7 moderate</t>
  </si>
  <si>
    <t>8–10 severe</t>
  </si>
  <si>
    <t>Analgesics, wound check</t>
  </si>
  <si>
    <t>Breast Engorgement</t>
  </si>
  <si>
    <t>Swelling &amp; nipple pain</t>
  </si>
  <si>
    <t>Check breastfeeding issues</t>
  </si>
  <si>
    <t>observation</t>
  </si>
  <si>
    <t>Soft, normal</t>
  </si>
  <si>
    <t>Full, mild pain</t>
  </si>
  <si>
    <t>Severe engorgement</t>
  </si>
  <si>
    <t>Daily</t>
  </si>
  <si>
    <t>Breastfeeding support, warm compress</t>
  </si>
  <si>
    <t>Fatigue/Weakness</t>
  </si>
  <si>
    <t>General energy level</t>
  </si>
  <si>
    <t>Assess recovery</t>
  </si>
  <si>
    <t>Normal activity</t>
  </si>
  <si>
    <t>Excess tiredness</t>
  </si>
  <si>
    <t>Unable to perform basic tasks</t>
  </si>
  <si>
    <t>Check Hb, nutrition, rest</t>
  </si>
  <si>
    <t>Mood Changes</t>
  </si>
  <si>
    <t>Emotional state after birth</t>
  </si>
  <si>
    <t>Detect depression</t>
  </si>
  <si>
    <t>Happy/stable</t>
  </si>
  <si>
    <t>Baby blues</t>
  </si>
  <si>
    <t>Harmful thoughts</t>
  </si>
  <si>
    <t>Counseling, psychiatric help</t>
  </si>
  <si>
    <t>Bowel/Urinary Issues</t>
  </si>
  <si>
    <t>Constipation, leakage, hemorrhoids</t>
  </si>
  <si>
    <t>Normal</t>
  </si>
  <si>
    <t>Occasional issue</t>
  </si>
  <si>
    <t>Severe persistent</t>
  </si>
  <si>
    <t>Medication, consultation</t>
  </si>
  <si>
    <t>Red Flag</t>
  </si>
  <si>
    <t>Heavy Bleeding (PPH)</t>
  </si>
  <si>
    <t>Severe blood loss</t>
  </si>
  <si>
    <t>Detect emergency</t>
  </si>
  <si>
    <t>≥1000/shock</t>
  </si>
  <si>
    <t>Immediate</t>
  </si>
  <si>
    <t>Emergency PPH management</t>
  </si>
  <si>
    <t>High Fever/Chills</t>
  </si>
  <si>
    <t>Infection sign</t>
  </si>
  <si>
    <t>Detect sepsis</t>
  </si>
  <si>
    <t>≥38.1</t>
  </si>
  <si>
    <t>Antibiotics, sepsis protocol</t>
  </si>
  <si>
    <t>Severe Headache/Blurred Vision</t>
  </si>
  <si>
    <t>Preeclampsia/Eclampsia</t>
  </si>
  <si>
    <t>Detect complication</t>
  </si>
  <si>
    <t>symptom</t>
  </si>
  <si>
    <t>None</t>
  </si>
  <si>
    <t>Mild headache</t>
  </si>
  <si>
    <t>Severe + vision changes</t>
  </si>
  <si>
    <t>Magnesium sulphate, antihypertensives</t>
  </si>
  <si>
    <t>Chest Pain/Breathlessness</t>
  </si>
  <si>
    <t>Heart/lung issue</t>
  </si>
  <si>
    <t>Detect embolism</t>
  </si>
  <si>
    <t>Mild breathlessness</t>
  </si>
  <si>
    <t>Severe chest pain/resp distress</t>
  </si>
  <si>
    <t>Oxygen, emergency care</t>
  </si>
  <si>
    <t>Persistent Sadness/Harmful Thoughts</t>
  </si>
  <si>
    <t>Severe depression</t>
  </si>
  <si>
    <t>Mental health risk</t>
  </si>
  <si>
    <t>Normal mood</t>
  </si>
  <si>
    <t>Suicidal thoughts</t>
  </si>
  <si>
    <t>Urgent psychiatric care</t>
  </si>
  <si>
    <t>Count</t>
  </si>
  <si>
    <t>Alert Level</t>
  </si>
  <si>
    <t>Safe</t>
  </si>
  <si>
    <t>Caution</t>
  </si>
  <si>
    <t>Danger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</si>
</sst>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2DCDB"/>
        <bgColor rgb="FFF2DC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Parameters by Category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Summary!$A$2:$A$5</c:f>
              <c:strCache>
                <c:ptCount val="4"/>
                <c:pt idx="0">
                  <c:v>Postpartum</c:v>
                </c:pt>
                <c:pt idx="1">
                  <c:v>Red Flag</c:v>
                </c:pt>
                <c:pt idx="2">
                  <c:v>Vital</c:v>
                </c:pt>
                <c:pt idx="3">
                  <c:v>Labour Progress</c:v>
                </c:pt>
              </c:strCache>
            </c:strRef>
          </c:cat>
          <c:val>
            <c:numRef>
              <c:f>Summary!$B$2:$B$5</c:f>
              <c:numCache>
                <c:formatCode>General</c:formatCode>
                <c:ptCount val="4"/>
                <c:pt idx="0">
                  <c:v>8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9B-4C40-9198-B2F1376B1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Vital Signs Distribution (Example)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Summary!$A$8:$A$10</c:f>
              <c:strCache>
                <c:ptCount val="3"/>
                <c:pt idx="0">
                  <c:v>Safe</c:v>
                </c:pt>
                <c:pt idx="1">
                  <c:v>Caution</c:v>
                </c:pt>
                <c:pt idx="2">
                  <c:v>Danger</c:v>
                </c:pt>
              </c:strCache>
            </c:strRef>
          </c:cat>
          <c:val>
            <c:numRef>
              <c:f>Summary!$B$8:$B$10</c:f>
              <c:numCache>
                <c:formatCode>General</c:formatCode>
                <c:ptCount val="3"/>
                <c:pt idx="0">
                  <c:v>15</c:v>
                </c:pt>
                <c:pt idx="1">
                  <c:v>6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73-4B74-B5CF-317A87A3A6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Alert Level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ternalTable" displayName="MaternalTable" ref="A1:K22">
  <autoFilter ref="A1:K22" xr:uid="{00000000-0009-0000-0100-000001000000}"/>
  <tableColumns count="11">
    <tableColumn id="1" xr3:uid="{00000000-0010-0000-0000-000001000000}" name="Category"/>
    <tableColumn id="2" xr3:uid="{00000000-0010-0000-0000-000002000000}" name="Parameter"/>
    <tableColumn id="3" xr3:uid="{00000000-0010-0000-0000-000003000000}" name="Meaning (Simple)"/>
    <tableColumn id="4" xr3:uid="{00000000-0010-0000-0000-000004000000}" name="Why Used"/>
    <tableColumn id="5" xr3:uid="{00000000-0010-0000-0000-000005000000}" name="When Used"/>
    <tableColumn id="6" xr3:uid="{00000000-0010-0000-0000-000006000000}" name="Unit"/>
    <tableColumn id="7" xr3:uid="{00000000-0010-0000-0000-000007000000}" name="Safe Range (Green)"/>
    <tableColumn id="8" xr3:uid="{00000000-0010-0000-0000-000008000000}" name="Caution (Yellow)"/>
    <tableColumn id="9" xr3:uid="{00000000-0010-0000-0000-000009000000}" name="Danger (Red)"/>
    <tableColumn id="10" xr3:uid="{00000000-0010-0000-0000-00000A000000}" name="Frequency"/>
    <tableColumn id="11" xr3:uid="{00000000-0010-0000-0000-00000B000000}" name="Ac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645FD5-D0FF-40E7-B7A5-D7D52F89512F}" name="Table2" displayName="Table2" ref="A1:B10" totalsRowShown="0">
  <autoFilter ref="A1:B10" xr:uid="{98645FD5-D0FF-40E7-B7A5-D7D52F89512F}"/>
  <tableColumns count="2">
    <tableColumn id="1" xr3:uid="{AE00A641-0ABB-4240-8BF7-2F78CC3F9D41}" name="Category"/>
    <tableColumn id="2" xr3:uid="{50426620-B359-481B-B039-9606F4DC12B0}" name="Cou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097D1A-F763-4375-A994-5A03A320BA94}" name="Table3" displayName="Table3" ref="A1:K6" totalsRowShown="0" headerRowDxfId="0">
  <autoFilter ref="A1:K6" xr:uid="{D8097D1A-F763-4375-A994-5A03A320BA94}"/>
  <tableColumns count="11">
    <tableColumn id="1" xr3:uid="{1FF20D5F-6EBB-4812-8953-20D95FF98CAD}" name="Category"/>
    <tableColumn id="2" xr3:uid="{DFEE7858-78EE-46A5-BB92-0CBEAF391EEC}" name="Parameter"/>
    <tableColumn id="3" xr3:uid="{1B278A57-74EB-4B2E-85C3-3C4B94DE4492}" name="Meaning (Simple)"/>
    <tableColumn id="4" xr3:uid="{7959B163-FBC1-4D9E-94AC-84CE8F8AA875}" name="Why Used"/>
    <tableColumn id="5" xr3:uid="{DE628693-0148-4994-8071-F3B7A3FE2340}" name="When Used"/>
    <tableColumn id="6" xr3:uid="{4FF8A33F-4808-42F1-9155-33269ED21FA2}" name="Unit"/>
    <tableColumn id="7" xr3:uid="{E4B76B50-0484-470E-A15A-1CA8ADEBEBA2}" name="Safe Range (Green)"/>
    <tableColumn id="8" xr3:uid="{53D5D884-7B2D-4C8E-898A-697C1127725F}" name="Caution (Yellow)"/>
    <tableColumn id="9" xr3:uid="{05B24A5B-D391-4036-8818-48CD9E580B73}" name="Danger (Red)"/>
    <tableColumn id="10" xr3:uid="{FB883094-1E02-4C33-99CA-15ACA7CCCC68}" name="Frequency"/>
    <tableColumn id="11" xr3:uid="{F001E28A-A955-435E-82EC-D12C6F6111F6}" name="Ac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workbookViewId="0">
      <selection activeCell="B26" sqref="B26"/>
    </sheetView>
  </sheetViews>
  <sheetFormatPr defaultRowHeight="14.4" x14ac:dyDescent="0.3"/>
  <cols>
    <col min="1" max="1" width="15" customWidth="1"/>
    <col min="2" max="2" width="28" customWidth="1"/>
    <col min="3" max="3" width="32" customWidth="1"/>
    <col min="4" max="4" width="26" customWidth="1"/>
    <col min="5" max="5" width="20" customWidth="1"/>
    <col min="6" max="6" width="10" customWidth="1"/>
    <col min="7" max="9" width="18" customWidth="1"/>
    <col min="10" max="10" width="25" customWidth="1"/>
    <col min="11" max="11" width="32" customWidth="1"/>
  </cols>
  <sheetData>
    <row r="1" spans="1:11" x14ac:dyDescent="0.3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2" t="s">
        <v>17</v>
      </c>
      <c r="H2" s="3" t="s">
        <v>18</v>
      </c>
      <c r="I2" s="4" t="s">
        <v>19</v>
      </c>
      <c r="J2" t="s">
        <v>20</v>
      </c>
      <c r="K2" t="s">
        <v>21</v>
      </c>
    </row>
    <row r="3" spans="1:11" x14ac:dyDescent="0.3">
      <c r="A3" t="s">
        <v>11</v>
      </c>
      <c r="B3" t="s">
        <v>22</v>
      </c>
      <c r="C3" t="s">
        <v>23</v>
      </c>
      <c r="D3" t="s">
        <v>24</v>
      </c>
      <c r="E3" t="s">
        <v>15</v>
      </c>
      <c r="F3" t="s">
        <v>25</v>
      </c>
      <c r="G3" s="2" t="s">
        <v>26</v>
      </c>
      <c r="H3" s="3" t="s">
        <v>27</v>
      </c>
      <c r="I3" s="4" t="s">
        <v>28</v>
      </c>
      <c r="J3" t="s">
        <v>20</v>
      </c>
      <c r="K3" t="s">
        <v>29</v>
      </c>
    </row>
    <row r="4" spans="1:11" x14ac:dyDescent="0.3">
      <c r="A4" t="s">
        <v>11</v>
      </c>
      <c r="B4" t="s">
        <v>30</v>
      </c>
      <c r="C4" t="s">
        <v>31</v>
      </c>
      <c r="D4" t="s">
        <v>32</v>
      </c>
      <c r="E4" t="s">
        <v>15</v>
      </c>
      <c r="F4" t="s">
        <v>33</v>
      </c>
      <c r="G4" s="2" t="s">
        <v>34</v>
      </c>
      <c r="H4" s="3" t="s">
        <v>35</v>
      </c>
      <c r="I4" s="4" t="s">
        <v>36</v>
      </c>
      <c r="J4" t="s">
        <v>37</v>
      </c>
      <c r="K4" t="s">
        <v>38</v>
      </c>
    </row>
    <row r="5" spans="1:11" x14ac:dyDescent="0.3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s="2" t="s">
        <v>45</v>
      </c>
      <c r="H5" s="3" t="s">
        <v>46</v>
      </c>
      <c r="I5" s="4" t="s">
        <v>47</v>
      </c>
      <c r="J5" t="s">
        <v>48</v>
      </c>
      <c r="K5" t="s">
        <v>49</v>
      </c>
    </row>
    <row r="6" spans="1:11" x14ac:dyDescent="0.3">
      <c r="A6" t="s">
        <v>39</v>
      </c>
      <c r="B6" t="s">
        <v>50</v>
      </c>
      <c r="C6" t="s">
        <v>51</v>
      </c>
      <c r="D6" t="s">
        <v>52</v>
      </c>
      <c r="E6" t="s">
        <v>43</v>
      </c>
      <c r="F6" t="s">
        <v>53</v>
      </c>
      <c r="G6" s="2" t="s">
        <v>54</v>
      </c>
      <c r="H6" s="3" t="s">
        <v>55</v>
      </c>
      <c r="I6" s="4" t="s">
        <v>56</v>
      </c>
      <c r="J6" t="s">
        <v>57</v>
      </c>
      <c r="K6" t="s">
        <v>58</v>
      </c>
    </row>
    <row r="7" spans="1:11" x14ac:dyDescent="0.3">
      <c r="A7" t="s">
        <v>39</v>
      </c>
      <c r="B7" t="s">
        <v>59</v>
      </c>
      <c r="C7" t="s">
        <v>60</v>
      </c>
      <c r="D7" t="s">
        <v>61</v>
      </c>
      <c r="E7" t="s">
        <v>43</v>
      </c>
      <c r="F7" t="s">
        <v>62</v>
      </c>
      <c r="G7" s="2" t="s">
        <v>63</v>
      </c>
      <c r="H7" s="3" t="s">
        <v>64</v>
      </c>
      <c r="I7" s="4" t="s">
        <v>65</v>
      </c>
      <c r="J7" t="s">
        <v>66</v>
      </c>
      <c r="K7" t="s">
        <v>67</v>
      </c>
    </row>
    <row r="8" spans="1:11" x14ac:dyDescent="0.3">
      <c r="A8" t="s">
        <v>39</v>
      </c>
      <c r="B8" t="s">
        <v>68</v>
      </c>
      <c r="C8" t="s">
        <v>69</v>
      </c>
      <c r="D8" t="s">
        <v>70</v>
      </c>
      <c r="E8" t="s">
        <v>43</v>
      </c>
      <c r="F8" t="s">
        <v>71</v>
      </c>
      <c r="G8" s="2" t="s">
        <v>72</v>
      </c>
      <c r="H8" s="3" t="s">
        <v>73</v>
      </c>
      <c r="I8" s="4" t="s">
        <v>74</v>
      </c>
      <c r="J8" t="s">
        <v>75</v>
      </c>
      <c r="K8" t="s">
        <v>76</v>
      </c>
    </row>
    <row r="9" spans="1:11" x14ac:dyDescent="0.3">
      <c r="A9" t="s">
        <v>11</v>
      </c>
      <c r="B9" t="s">
        <v>77</v>
      </c>
      <c r="C9" t="s">
        <v>78</v>
      </c>
      <c r="D9" t="s">
        <v>79</v>
      </c>
      <c r="E9" t="s">
        <v>80</v>
      </c>
      <c r="F9" t="s">
        <v>81</v>
      </c>
      <c r="G9" s="2" t="s">
        <v>82</v>
      </c>
      <c r="H9" s="3" t="s">
        <v>83</v>
      </c>
      <c r="I9" s="4" t="s">
        <v>84</v>
      </c>
      <c r="J9" t="s">
        <v>48</v>
      </c>
      <c r="K9" t="s">
        <v>85</v>
      </c>
    </row>
    <row r="10" spans="1:11" x14ac:dyDescent="0.3">
      <c r="A10" t="s">
        <v>80</v>
      </c>
      <c r="B10" t="s">
        <v>86</v>
      </c>
      <c r="C10" t="s">
        <v>87</v>
      </c>
      <c r="D10" t="s">
        <v>88</v>
      </c>
      <c r="E10" t="s">
        <v>80</v>
      </c>
      <c r="F10" t="s">
        <v>89</v>
      </c>
      <c r="G10" s="2" t="s">
        <v>90</v>
      </c>
      <c r="H10" s="3" t="s">
        <v>91</v>
      </c>
      <c r="I10" s="4" t="s">
        <v>92</v>
      </c>
      <c r="J10" t="s">
        <v>93</v>
      </c>
      <c r="K10" t="s">
        <v>94</v>
      </c>
    </row>
    <row r="11" spans="1:11" x14ac:dyDescent="0.3">
      <c r="A11" t="s">
        <v>80</v>
      </c>
      <c r="B11" t="s">
        <v>95</v>
      </c>
      <c r="C11" t="s">
        <v>96</v>
      </c>
      <c r="D11" t="s">
        <v>97</v>
      </c>
      <c r="E11" t="s">
        <v>80</v>
      </c>
      <c r="F11" t="s">
        <v>98</v>
      </c>
      <c r="G11" s="2" t="s">
        <v>99</v>
      </c>
      <c r="H11" s="3" t="s">
        <v>100</v>
      </c>
      <c r="I11" s="4" t="s">
        <v>101</v>
      </c>
      <c r="J11" t="s">
        <v>93</v>
      </c>
      <c r="K11" t="s">
        <v>102</v>
      </c>
    </row>
    <row r="12" spans="1:11" x14ac:dyDescent="0.3">
      <c r="A12" t="s">
        <v>80</v>
      </c>
      <c r="B12" t="s">
        <v>103</v>
      </c>
      <c r="C12" t="s">
        <v>104</v>
      </c>
      <c r="D12" t="s">
        <v>105</v>
      </c>
      <c r="E12" t="s">
        <v>80</v>
      </c>
      <c r="F12" t="s">
        <v>106</v>
      </c>
      <c r="G12" s="2" t="s">
        <v>107</v>
      </c>
      <c r="H12" s="3" t="s">
        <v>108</v>
      </c>
      <c r="I12" s="4" t="s">
        <v>109</v>
      </c>
      <c r="J12" t="s">
        <v>110</v>
      </c>
      <c r="K12" t="s">
        <v>111</v>
      </c>
    </row>
    <row r="13" spans="1:11" x14ac:dyDescent="0.3">
      <c r="A13" t="s">
        <v>80</v>
      </c>
      <c r="B13" t="s">
        <v>112</v>
      </c>
      <c r="C13" t="s">
        <v>113</v>
      </c>
      <c r="D13" t="s">
        <v>114</v>
      </c>
      <c r="E13" t="s">
        <v>80</v>
      </c>
      <c r="F13" t="s">
        <v>115</v>
      </c>
      <c r="G13" s="2" t="s">
        <v>116</v>
      </c>
      <c r="H13" s="3" t="s">
        <v>117</v>
      </c>
      <c r="I13" s="4" t="s">
        <v>118</v>
      </c>
      <c r="J13" t="s">
        <v>48</v>
      </c>
      <c r="K13" t="s">
        <v>119</v>
      </c>
    </row>
    <row r="14" spans="1:11" x14ac:dyDescent="0.3">
      <c r="A14" t="s">
        <v>80</v>
      </c>
      <c r="B14" t="s">
        <v>120</v>
      </c>
      <c r="C14" t="s">
        <v>121</v>
      </c>
      <c r="D14" t="s">
        <v>122</v>
      </c>
      <c r="E14" t="s">
        <v>80</v>
      </c>
      <c r="F14" t="s">
        <v>123</v>
      </c>
      <c r="G14" s="2" t="s">
        <v>124</v>
      </c>
      <c r="H14" s="3" t="s">
        <v>125</v>
      </c>
      <c r="I14" s="4" t="s">
        <v>126</v>
      </c>
      <c r="J14" t="s">
        <v>127</v>
      </c>
      <c r="K14" t="s">
        <v>128</v>
      </c>
    </row>
    <row r="15" spans="1:11" x14ac:dyDescent="0.3">
      <c r="A15" t="s">
        <v>80</v>
      </c>
      <c r="B15" t="s">
        <v>129</v>
      </c>
      <c r="C15" t="s">
        <v>130</v>
      </c>
      <c r="D15" t="s">
        <v>131</v>
      </c>
      <c r="E15" t="s">
        <v>80</v>
      </c>
      <c r="F15" t="s">
        <v>123</v>
      </c>
      <c r="G15" s="2" t="s">
        <v>132</v>
      </c>
      <c r="H15" s="3" t="s">
        <v>133</v>
      </c>
      <c r="I15" s="4" t="s">
        <v>134</v>
      </c>
      <c r="J15" t="s">
        <v>127</v>
      </c>
      <c r="K15" t="s">
        <v>135</v>
      </c>
    </row>
    <row r="16" spans="1:11" x14ac:dyDescent="0.3">
      <c r="A16" t="s">
        <v>80</v>
      </c>
      <c r="B16" t="s">
        <v>136</v>
      </c>
      <c r="C16" t="s">
        <v>137</v>
      </c>
      <c r="D16" t="s">
        <v>138</v>
      </c>
      <c r="E16" t="s">
        <v>80</v>
      </c>
      <c r="F16" t="s">
        <v>123</v>
      </c>
      <c r="G16" s="2" t="s">
        <v>139</v>
      </c>
      <c r="H16" s="3" t="s">
        <v>140</v>
      </c>
      <c r="I16" s="4" t="s">
        <v>141</v>
      </c>
      <c r="J16" t="s">
        <v>127</v>
      </c>
      <c r="K16" t="s">
        <v>142</v>
      </c>
    </row>
    <row r="17" spans="1:11" x14ac:dyDescent="0.3">
      <c r="A17" t="s">
        <v>80</v>
      </c>
      <c r="B17" t="s">
        <v>143</v>
      </c>
      <c r="C17" t="s">
        <v>144</v>
      </c>
      <c r="D17" t="s">
        <v>131</v>
      </c>
      <c r="E17" t="s">
        <v>80</v>
      </c>
      <c r="F17" t="s">
        <v>123</v>
      </c>
      <c r="G17" s="2" t="s">
        <v>145</v>
      </c>
      <c r="H17" s="3" t="s">
        <v>146</v>
      </c>
      <c r="I17" s="4" t="s">
        <v>147</v>
      </c>
      <c r="J17" t="s">
        <v>127</v>
      </c>
      <c r="K17" t="s">
        <v>148</v>
      </c>
    </row>
    <row r="18" spans="1:11" x14ac:dyDescent="0.3">
      <c r="A18" t="s">
        <v>149</v>
      </c>
      <c r="B18" t="s">
        <v>150</v>
      </c>
      <c r="C18" t="s">
        <v>151</v>
      </c>
      <c r="D18" t="s">
        <v>152</v>
      </c>
      <c r="E18" t="s">
        <v>80</v>
      </c>
      <c r="F18" t="s">
        <v>89</v>
      </c>
      <c r="G18" s="2" t="s">
        <v>90</v>
      </c>
      <c r="H18" s="3" t="s">
        <v>91</v>
      </c>
      <c r="I18" s="4" t="s">
        <v>153</v>
      </c>
      <c r="J18" t="s">
        <v>154</v>
      </c>
      <c r="K18" t="s">
        <v>155</v>
      </c>
    </row>
    <row r="19" spans="1:11" x14ac:dyDescent="0.3">
      <c r="A19" t="s">
        <v>149</v>
      </c>
      <c r="B19" t="s">
        <v>156</v>
      </c>
      <c r="C19" t="s">
        <v>157</v>
      </c>
      <c r="D19" t="s">
        <v>158</v>
      </c>
      <c r="E19" t="s">
        <v>80</v>
      </c>
      <c r="F19" t="s">
        <v>33</v>
      </c>
      <c r="G19" s="2" t="s">
        <v>34</v>
      </c>
      <c r="H19" s="3" t="s">
        <v>35</v>
      </c>
      <c r="I19" s="4" t="s">
        <v>159</v>
      </c>
      <c r="J19" t="s">
        <v>154</v>
      </c>
      <c r="K19" t="s">
        <v>160</v>
      </c>
    </row>
    <row r="20" spans="1:11" x14ac:dyDescent="0.3">
      <c r="A20" t="s">
        <v>149</v>
      </c>
      <c r="B20" t="s">
        <v>161</v>
      </c>
      <c r="C20" t="s">
        <v>162</v>
      </c>
      <c r="D20" t="s">
        <v>163</v>
      </c>
      <c r="E20" t="s">
        <v>15</v>
      </c>
      <c r="F20" t="s">
        <v>164</v>
      </c>
      <c r="G20" s="2" t="s">
        <v>165</v>
      </c>
      <c r="H20" s="3" t="s">
        <v>166</v>
      </c>
      <c r="I20" s="4" t="s">
        <v>167</v>
      </c>
      <c r="J20" t="s">
        <v>154</v>
      </c>
      <c r="K20" t="s">
        <v>168</v>
      </c>
    </row>
    <row r="21" spans="1:11" x14ac:dyDescent="0.3">
      <c r="A21" t="s">
        <v>149</v>
      </c>
      <c r="B21" t="s">
        <v>169</v>
      </c>
      <c r="C21" t="s">
        <v>170</v>
      </c>
      <c r="D21" t="s">
        <v>171</v>
      </c>
      <c r="E21" t="s">
        <v>15</v>
      </c>
      <c r="F21" t="s">
        <v>164</v>
      </c>
      <c r="G21" s="2" t="s">
        <v>165</v>
      </c>
      <c r="H21" s="3" t="s">
        <v>172</v>
      </c>
      <c r="I21" s="4" t="s">
        <v>173</v>
      </c>
      <c r="J21" t="s">
        <v>154</v>
      </c>
      <c r="K21" t="s">
        <v>174</v>
      </c>
    </row>
    <row r="22" spans="1:11" x14ac:dyDescent="0.3">
      <c r="A22" t="s">
        <v>149</v>
      </c>
      <c r="B22" t="s">
        <v>175</v>
      </c>
      <c r="C22" t="s">
        <v>176</v>
      </c>
      <c r="D22" t="s">
        <v>177</v>
      </c>
      <c r="E22" t="s">
        <v>80</v>
      </c>
      <c r="F22" t="s">
        <v>164</v>
      </c>
      <c r="G22" s="2" t="s">
        <v>178</v>
      </c>
      <c r="H22" s="3" t="s">
        <v>140</v>
      </c>
      <c r="I22" s="4" t="s">
        <v>179</v>
      </c>
      <c r="J22" t="s">
        <v>127</v>
      </c>
      <c r="K22" t="s">
        <v>180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tabSelected="1" workbookViewId="0">
      <selection activeCell="C4" sqref="C4"/>
    </sheetView>
  </sheetViews>
  <sheetFormatPr defaultRowHeight="14.4" x14ac:dyDescent="0.3"/>
  <cols>
    <col min="1" max="1" width="14.109375" bestFit="1" customWidth="1"/>
  </cols>
  <sheetData>
    <row r="1" spans="1:2" x14ac:dyDescent="0.3">
      <c r="A1" t="s">
        <v>0</v>
      </c>
      <c r="B1" t="s">
        <v>181</v>
      </c>
    </row>
    <row r="2" spans="1:2" x14ac:dyDescent="0.3">
      <c r="A2" t="s">
        <v>80</v>
      </c>
      <c r="B2">
        <v>8</v>
      </c>
    </row>
    <row r="3" spans="1:2" x14ac:dyDescent="0.3">
      <c r="A3" t="s">
        <v>149</v>
      </c>
      <c r="B3">
        <v>5</v>
      </c>
    </row>
    <row r="4" spans="1:2" x14ac:dyDescent="0.3">
      <c r="A4" t="s">
        <v>11</v>
      </c>
      <c r="B4">
        <v>4</v>
      </c>
    </row>
    <row r="5" spans="1:2" x14ac:dyDescent="0.3">
      <c r="A5" t="s">
        <v>39</v>
      </c>
      <c r="B5">
        <v>4</v>
      </c>
    </row>
    <row r="7" spans="1:2" x14ac:dyDescent="0.3">
      <c r="A7" t="s">
        <v>182</v>
      </c>
      <c r="B7" t="s">
        <v>181</v>
      </c>
    </row>
    <row r="8" spans="1:2" x14ac:dyDescent="0.3">
      <c r="A8" t="s">
        <v>183</v>
      </c>
      <c r="B8">
        <v>15</v>
      </c>
    </row>
    <row r="9" spans="1:2" x14ac:dyDescent="0.3">
      <c r="A9" t="s">
        <v>184</v>
      </c>
      <c r="B9">
        <v>6</v>
      </c>
    </row>
    <row r="10" spans="1:2" x14ac:dyDescent="0.3">
      <c r="A10" t="s">
        <v>185</v>
      </c>
      <c r="B10">
        <v>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"/>
  <sheetViews>
    <sheetView workbookViewId="0">
      <selection activeCell="J19" sqref="J18:J19"/>
    </sheetView>
  </sheetViews>
  <sheetFormatPr defaultRowHeight="14.4" x14ac:dyDescent="0.3"/>
  <cols>
    <col min="1" max="1" width="10.44140625" customWidth="1"/>
    <col min="2" max="2" width="31.6640625" bestFit="1" customWidth="1"/>
    <col min="3" max="3" width="20.88671875" bestFit="1" customWidth="1"/>
    <col min="4" max="4" width="17.6640625" bestFit="1" customWidth="1"/>
    <col min="5" max="5" width="18.21875" bestFit="1" customWidth="1"/>
    <col min="6" max="6" width="8.5546875" bestFit="1" customWidth="1"/>
    <col min="7" max="7" width="19" customWidth="1"/>
    <col min="8" max="8" width="17" bestFit="1" customWidth="1"/>
    <col min="9" max="9" width="26.33203125" bestFit="1" customWidth="1"/>
    <col min="10" max="10" width="11.6640625" customWidth="1"/>
    <col min="11" max="11" width="33.33203125" bestFit="1" customWidth="1"/>
  </cols>
  <sheetData>
    <row r="1" spans="1:1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149</v>
      </c>
      <c r="B2" t="s">
        <v>150</v>
      </c>
      <c r="C2" t="s">
        <v>151</v>
      </c>
      <c r="D2" t="s">
        <v>152</v>
      </c>
      <c r="E2" t="s">
        <v>80</v>
      </c>
      <c r="F2" t="s">
        <v>89</v>
      </c>
      <c r="G2" t="s">
        <v>90</v>
      </c>
      <c r="H2" t="s">
        <v>91</v>
      </c>
      <c r="I2" t="s">
        <v>153</v>
      </c>
      <c r="J2" t="s">
        <v>154</v>
      </c>
      <c r="K2" t="s">
        <v>155</v>
      </c>
    </row>
    <row r="3" spans="1:11" x14ac:dyDescent="0.3">
      <c r="A3" t="s">
        <v>149</v>
      </c>
      <c r="B3" t="s">
        <v>156</v>
      </c>
      <c r="C3" t="s">
        <v>157</v>
      </c>
      <c r="D3" t="s">
        <v>158</v>
      </c>
      <c r="E3" t="s">
        <v>80</v>
      </c>
      <c r="F3" t="s">
        <v>33</v>
      </c>
      <c r="G3" t="s">
        <v>34</v>
      </c>
      <c r="H3" t="s">
        <v>35</v>
      </c>
      <c r="I3" t="s">
        <v>159</v>
      </c>
      <c r="J3" t="s">
        <v>154</v>
      </c>
      <c r="K3" t="s">
        <v>160</v>
      </c>
    </row>
    <row r="4" spans="1:11" x14ac:dyDescent="0.3">
      <c r="A4" t="s">
        <v>149</v>
      </c>
      <c r="B4" t="s">
        <v>161</v>
      </c>
      <c r="C4" t="s">
        <v>162</v>
      </c>
      <c r="D4" t="s">
        <v>163</v>
      </c>
      <c r="E4" t="s">
        <v>15</v>
      </c>
      <c r="F4" t="s">
        <v>164</v>
      </c>
      <c r="G4" t="s">
        <v>165</v>
      </c>
      <c r="H4" t="s">
        <v>166</v>
      </c>
      <c r="I4" t="s">
        <v>167</v>
      </c>
      <c r="J4" t="s">
        <v>154</v>
      </c>
      <c r="K4" t="s">
        <v>168</v>
      </c>
    </row>
    <row r="5" spans="1:11" x14ac:dyDescent="0.3">
      <c r="A5" t="s">
        <v>149</v>
      </c>
      <c r="B5" t="s">
        <v>169</v>
      </c>
      <c r="C5" t="s">
        <v>170</v>
      </c>
      <c r="D5" t="s">
        <v>171</v>
      </c>
      <c r="E5" t="s">
        <v>15</v>
      </c>
      <c r="F5" t="s">
        <v>164</v>
      </c>
      <c r="G5" t="s">
        <v>165</v>
      </c>
      <c r="H5" t="s">
        <v>172</v>
      </c>
      <c r="I5" t="s">
        <v>173</v>
      </c>
      <c r="J5" t="s">
        <v>154</v>
      </c>
      <c r="K5" t="s">
        <v>174</v>
      </c>
    </row>
    <row r="6" spans="1:11" x14ac:dyDescent="0.3">
      <c r="A6" t="s">
        <v>149</v>
      </c>
      <c r="B6" t="s">
        <v>175</v>
      </c>
      <c r="C6" t="s">
        <v>176</v>
      </c>
      <c r="D6" t="s">
        <v>177</v>
      </c>
      <c r="E6" t="s">
        <v>80</v>
      </c>
      <c r="F6" t="s">
        <v>164</v>
      </c>
      <c r="G6" t="s">
        <v>178</v>
      </c>
      <c r="H6" t="s">
        <v>140</v>
      </c>
      <c r="I6" t="s">
        <v>179</v>
      </c>
      <c r="J6" t="s">
        <v>127</v>
      </c>
      <c r="K6" t="s">
        <v>180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Monitoring Parameters</vt:lpstr>
      <vt:lpstr>Summary</vt:lpstr>
      <vt:lpstr>Risk Parameters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Say My Name</cp:lastModifiedBy>
  <dcterms:created xsi:type="dcterms:W3CDTF">2025-08-17T06:23:53Z</dcterms:created>
  <dcterms:modified xsi:type="dcterms:W3CDTF">2025-08-17T11:21:05Z</dcterms:modified>
</cp:coreProperties>
</file>